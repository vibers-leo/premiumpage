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종합 현황" sheetId="1" state="visible" r:id="rId3"/>
    <sheet name="이미지 매칭 상세" sheetId="2" state="visible" r:id="rId4"/>
    <sheet name="코드 규모" sheetId="3" state="visible" r:id="rId5"/>
    <sheet name="개선 제안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<sst xmlns="http://schemas.openxmlformats.org/spreadsheetml/2006/main" count="118" uniqueCount="92">
  <si>
    <r>
      <rPr>
        <b val="true"/>
        <sz val="14"/>
        <color rgb="FFFFFFFF"/>
        <rFont val="Arial"/>
        <family val="0"/>
        <charset val="1"/>
      </rPr>
      <t xml:space="preserve">premiumpage.kr </t>
    </r>
    <r>
      <rPr>
        <b val="true"/>
        <sz val="14"/>
        <color rgb="FFFFFFFF"/>
        <rFont val="DejaVu Sans"/>
        <family val="2"/>
      </rPr>
      <t xml:space="preserve">전자카탈로그 품질 점검 리포트</t>
    </r>
  </si>
  <si>
    <r>
      <rPr>
        <sz val="9"/>
        <color rgb="FF6B7280"/>
        <rFont val="DejaVu Sans"/>
        <family val="2"/>
      </rPr>
      <t xml:space="preserve">점검일</t>
    </r>
    <r>
      <rPr>
        <sz val="9"/>
        <color rgb="FF6B7280"/>
        <rFont val="Arial"/>
        <family val="0"/>
        <charset val="1"/>
      </rPr>
      <t xml:space="preserve">: 2026-03-09 | </t>
    </r>
    <r>
      <rPr>
        <sz val="9"/>
        <color rgb="FF6B7280"/>
        <rFont val="DejaVu Sans"/>
        <family val="2"/>
      </rPr>
      <t xml:space="preserve">점검 방법</t>
    </r>
    <r>
      <rPr>
        <sz val="9"/>
        <color rgb="FF6B7280"/>
        <rFont val="Arial"/>
        <family val="0"/>
        <charset val="1"/>
      </rPr>
      <t xml:space="preserve">: </t>
    </r>
    <r>
      <rPr>
        <sz val="9"/>
        <color rgb="FF6B7280"/>
        <rFont val="DejaVu Sans"/>
        <family val="2"/>
      </rPr>
      <t xml:space="preserve">코드 레벨 정적 분석</t>
    </r>
  </si>
  <si>
    <t xml:space="preserve">카탈로그</t>
  </si>
  <si>
    <t xml:space="preserve">도메인</t>
  </si>
  <si>
    <t xml:space="preserve">코드 파일</t>
  </si>
  <si>
    <t xml:space="preserve">코드 라인</t>
  </si>
  <si>
    <r>
      <rPr>
        <b val="true"/>
        <sz val="10"/>
        <color rgb="FFFFFFFF"/>
        <rFont val="DejaVu Sans"/>
        <family val="2"/>
      </rPr>
      <t xml:space="preserve">이미지</t>
    </r>
    <r>
      <rPr>
        <b val="true"/>
        <sz val="10"/>
        <color rgb="FFFFFFFF"/>
        <rFont val="Arial"/>
        <family val="0"/>
        <charset val="1"/>
      </rPr>
      <t xml:space="preserve">(public)</t>
    </r>
  </si>
  <si>
    <t xml:space="preserve">이미지 매칭</t>
  </si>
  <si>
    <r>
      <rPr>
        <b val="true"/>
        <sz val="10"/>
        <color rgb="FFFFFFFF"/>
        <rFont val="Arial"/>
        <family val="0"/>
        <charset val="1"/>
      </rPr>
      <t xml:space="preserve">TS </t>
    </r>
    <r>
      <rPr>
        <b val="true"/>
        <sz val="10"/>
        <color rgb="FFFFFFFF"/>
        <rFont val="DejaVu Sans"/>
        <family val="2"/>
      </rPr>
      <t xml:space="preserve">에러</t>
    </r>
  </si>
  <si>
    <t xml:space="preserve">상태</t>
  </si>
  <si>
    <r>
      <rPr>
        <sz val="10"/>
        <rFont val="Arial"/>
        <family val="0"/>
        <charset val="1"/>
      </rPr>
      <t xml:space="preserve">HS-TECH (</t>
    </r>
    <r>
      <rPr>
        <sz val="10"/>
        <rFont val="DejaVu Sans"/>
        <family val="2"/>
      </rPr>
      <t xml:space="preserve">영문</t>
    </r>
    <r>
      <rPr>
        <sz val="10"/>
        <rFont val="Arial"/>
        <family val="0"/>
        <charset val="1"/>
      </rPr>
      <t xml:space="preserve">)</t>
    </r>
  </si>
  <si>
    <t xml:space="preserve">hstech.premiumpage.kr</t>
  </si>
  <si>
    <t xml:space="preserve">9/9 (100%)</t>
  </si>
  <si>
    <t xml:space="preserve">✅ 양호</t>
  </si>
  <si>
    <r>
      <rPr>
        <sz val="10"/>
        <rFont val="Arial"/>
        <family val="0"/>
        <charset val="1"/>
      </rPr>
      <t xml:space="preserve">HS-TECH (</t>
    </r>
    <r>
      <rPr>
        <sz val="10"/>
        <rFont val="DejaVu Sans"/>
        <family val="2"/>
      </rPr>
      <t xml:space="preserve">한글</t>
    </r>
    <r>
      <rPr>
        <sz val="10"/>
        <rFont val="Arial"/>
        <family val="0"/>
        <charset val="1"/>
      </rPr>
      <t xml:space="preserve">)</t>
    </r>
  </si>
  <si>
    <t xml:space="preserve">hstech-kr.premiumpage.kr</t>
  </si>
  <si>
    <t xml:space="preserve">공유</t>
  </si>
  <si>
    <t xml:space="preserve">GENTOP</t>
  </si>
  <si>
    <t xml:space="preserve">gentop.premiumpage.kr</t>
  </si>
  <si>
    <t xml:space="preserve">30/31 (97%)</t>
  </si>
  <si>
    <t xml:space="preserve">⚠️ 경미</t>
  </si>
  <si>
    <t xml:space="preserve">항성산업사</t>
  </si>
  <si>
    <t xml:space="preserve">hangseong.premiumpage.kr</t>
  </si>
  <si>
    <t xml:space="preserve">7/7 (100%)</t>
  </si>
  <si>
    <r>
      <rPr>
        <sz val="10"/>
        <rFont val="DejaVu Sans"/>
        <family val="2"/>
      </rPr>
      <t xml:space="preserve">에어 </t>
    </r>
    <r>
      <rPr>
        <sz val="10"/>
        <rFont val="Arial"/>
        <family val="0"/>
        <charset val="1"/>
      </rPr>
      <t xml:space="preserve">HS-TECH</t>
    </r>
  </si>
  <si>
    <t xml:space="preserve">hstechco.premiumpage.kr</t>
  </si>
  <si>
    <t xml:space="preserve">8/8 (100%)</t>
  </si>
  <si>
    <t xml:space="preserve">EMT</t>
  </si>
  <si>
    <t xml:space="preserve">emt.premiumpage.kr</t>
  </si>
  <si>
    <t xml:space="preserve">72/72 (100%)</t>
  </si>
  <si>
    <r>
      <rPr>
        <sz val="10"/>
        <rFont val="Arial"/>
        <family val="0"/>
        <charset val="1"/>
      </rPr>
      <t xml:space="preserve">Vibers </t>
    </r>
    <r>
      <rPr>
        <sz val="10"/>
        <rFont val="DejaVu Sans"/>
        <family val="2"/>
      </rPr>
      <t xml:space="preserve">매거진</t>
    </r>
  </si>
  <si>
    <t xml:space="preserve">vibers.premiumpage.kr</t>
  </si>
  <si>
    <t xml:space="preserve">-</t>
  </si>
  <si>
    <t xml:space="preserve">ℹ️ 신규</t>
  </si>
  <si>
    <t xml:space="preserve">합계</t>
  </si>
  <si>
    <t xml:space="preserve">이미지 매칭 상세 분석</t>
  </si>
  <si>
    <t xml:space="preserve">코드 참조</t>
  </si>
  <si>
    <t xml:space="preserve">매칭 성공</t>
  </si>
  <si>
    <t xml:space="preserve">누락</t>
  </si>
  <si>
    <r>
      <rPr>
        <b val="true"/>
        <sz val="10"/>
        <color rgb="FFFFFFFF"/>
        <rFont val="DejaVu Sans"/>
        <family val="2"/>
      </rPr>
      <t xml:space="preserve">외부 </t>
    </r>
    <r>
      <rPr>
        <b val="true"/>
        <sz val="10"/>
        <color rgb="FFFFFFFF"/>
        <rFont val="Arial"/>
        <family val="0"/>
        <charset val="1"/>
      </rPr>
      <t xml:space="preserve">URL</t>
    </r>
  </si>
  <si>
    <t xml:space="preserve">매칭률</t>
  </si>
  <si>
    <t xml:space="preserve">HS-TECH</t>
  </si>
  <si>
    <t xml:space="preserve">EMT (index.html)</t>
  </si>
  <si>
    <r>
      <rPr>
        <b val="true"/>
        <sz val="10"/>
        <color rgb="FFB45309"/>
        <rFont val="Arial"/>
        <family val="0"/>
        <charset val="1"/>
      </rPr>
      <t xml:space="preserve">⚠️ GENTOP </t>
    </r>
    <r>
      <rPr>
        <b val="true"/>
        <sz val="10"/>
        <color rgb="FFB45309"/>
        <rFont val="DejaVu Sans"/>
        <family val="2"/>
      </rPr>
      <t xml:space="preserve">누락 이미지</t>
    </r>
  </si>
  <si>
    <t xml:space="preserve">파일</t>
  </si>
  <si>
    <t xml:space="preserve">누락 경로</t>
  </si>
  <si>
    <r>
      <rPr>
        <b val="true"/>
        <sz val="9"/>
        <rFont val="DejaVu Sans"/>
        <family val="2"/>
      </rPr>
      <t xml:space="preserve">실제 위치 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DejaVu Sans"/>
        <family val="2"/>
      </rPr>
      <t xml:space="preserve">존재</t>
    </r>
    <r>
      <rPr>
        <b val="true"/>
        <sz val="9"/>
        <rFont val="Arial"/>
        <family val="0"/>
        <charset val="1"/>
      </rPr>
      <t xml:space="preserve">)</t>
    </r>
  </si>
  <si>
    <t xml:space="preserve">page.tsx</t>
  </si>
  <si>
    <t xml:space="preserve">/images/global_pic.jpg</t>
  </si>
  <si>
    <t xml:space="preserve">public/gentop/Introduction _ GENTOP_files/global_pic.jpg</t>
  </si>
  <si>
    <t xml:space="preserve">카탈로그별 코드 규모 분석</t>
  </si>
  <si>
    <r>
      <rPr>
        <b val="true"/>
        <sz val="10"/>
        <color rgb="FFFFFFFF"/>
        <rFont val="Arial"/>
        <family val="0"/>
        <charset val="1"/>
      </rPr>
      <t xml:space="preserve">TSX </t>
    </r>
    <r>
      <rPr>
        <b val="true"/>
        <sz val="10"/>
        <color rgb="FFFFFFFF"/>
        <rFont val="DejaVu Sans"/>
        <family val="2"/>
      </rPr>
      <t xml:space="preserve">컴포넌트</t>
    </r>
  </si>
  <si>
    <t xml:space="preserve">비고</t>
  </si>
  <si>
    <r>
      <rPr>
        <sz val="10"/>
        <rFont val="Arial"/>
        <family val="0"/>
        <charset val="1"/>
      </rPr>
      <t xml:space="preserve">VAISALA/SETRA/JUMO/KNICK 4</t>
    </r>
    <r>
      <rPr>
        <sz val="10"/>
        <rFont val="DejaVu Sans"/>
        <family val="2"/>
      </rPr>
      <t xml:space="preserve">브랜드</t>
    </r>
  </si>
  <si>
    <t xml:space="preserve">영문판 기반 한글 버전</t>
  </si>
  <si>
    <r>
      <rPr>
        <sz val="10"/>
        <rFont val="DejaVu Sans"/>
        <family val="2"/>
      </rPr>
      <t xml:space="preserve">다크모드 기본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영문</t>
    </r>
  </si>
  <si>
    <t xml:space="preserve">기업 특화</t>
  </si>
  <si>
    <r>
      <rPr>
        <sz val="10"/>
        <rFont val="DejaVu Sans"/>
        <family val="2"/>
      </rPr>
      <t xml:space="preserve">에어 </t>
    </r>
    <r>
      <rPr>
        <sz val="10"/>
        <rFont val="Arial"/>
        <family val="0"/>
        <charset val="1"/>
      </rPr>
      <t xml:space="preserve">HS-TECH (</t>
    </r>
    <r>
      <rPr>
        <sz val="10"/>
        <rFont val="DejaVu Sans"/>
        <family val="2"/>
      </rPr>
      <t xml:space="preserve">다크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</si>
  <si>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백업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개발용</t>
    </r>
  </si>
  <si>
    <r>
      <rPr>
        <sz val="10"/>
        <rFont val="DejaVu Sans"/>
        <family val="2"/>
      </rPr>
      <t xml:space="preserve">에어 </t>
    </r>
    <r>
      <rPr>
        <sz val="10"/>
        <rFont val="Arial"/>
        <family val="0"/>
        <charset val="1"/>
      </rPr>
      <t xml:space="preserve">HS-TECH (</t>
    </r>
    <r>
      <rPr>
        <sz val="10"/>
        <rFont val="DejaVu Sans"/>
        <family val="2"/>
      </rPr>
      <t xml:space="preserve">라이트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</si>
  <si>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실제 서빙 </t>
    </r>
    <r>
      <rPr>
        <sz val="10"/>
        <rFont val="Arial"/>
        <family val="0"/>
        <charset val="1"/>
      </rPr>
      <t xml:space="preserve">(GENWISH)</t>
    </r>
  </si>
  <si>
    <r>
      <rPr>
        <sz val="10"/>
        <rFont val="DejaVu Sans"/>
        <family val="2"/>
      </rPr>
      <t xml:space="preserve">정적 </t>
    </r>
    <r>
      <rPr>
        <sz val="10"/>
        <rFont val="Arial"/>
        <family val="0"/>
        <charset val="1"/>
      </rPr>
      <t xml:space="preserve">HTML </t>
    </r>
    <r>
      <rPr>
        <sz val="10"/>
        <rFont val="DejaVu Sans"/>
        <family val="2"/>
      </rPr>
      <t xml:space="preserve">방식</t>
    </r>
  </si>
  <si>
    <r>
      <rPr>
        <sz val="10"/>
        <rFont val="DejaVu Sans"/>
        <family val="2"/>
      </rPr>
      <t xml:space="preserve">계발자들 매거진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신규</t>
    </r>
    <r>
      <rPr>
        <sz val="10"/>
        <rFont val="Arial"/>
        <family val="0"/>
        <charset val="1"/>
      </rPr>
      <t xml:space="preserve">)</t>
    </r>
  </si>
  <si>
    <r>
      <rPr>
        <b val="true"/>
        <sz val="11"/>
        <rFont val="DejaVu Sans"/>
        <family val="2"/>
      </rPr>
      <t xml:space="preserve">공통 컴포넌트 </t>
    </r>
    <r>
      <rPr>
        <b val="true"/>
        <sz val="11"/>
        <rFont val="Arial"/>
        <family val="0"/>
        <charset val="1"/>
      </rPr>
      <t xml:space="preserve">(components/catalog/)</t>
    </r>
  </si>
  <si>
    <t xml:space="preserve">CatalogNavigator.tsx</t>
  </si>
  <si>
    <t xml:space="preserve">CatalogLayout.tsx</t>
  </si>
  <si>
    <t xml:space="preserve">CatalogHero.tsx</t>
  </si>
  <si>
    <t xml:space="preserve">CatalogFooter.tsx</t>
  </si>
  <si>
    <t xml:space="preserve">PageTransition.tsx</t>
  </si>
  <si>
    <t xml:space="preserve">StandardCatalog.tsx</t>
  </si>
  <si>
    <t xml:space="preserve">품질 개선 제안사항</t>
  </si>
  <si>
    <t xml:space="preserve">우선순위</t>
  </si>
  <si>
    <t xml:space="preserve">이슈</t>
  </si>
  <si>
    <t xml:space="preserve">제안</t>
  </si>
  <si>
    <t xml:space="preserve">🔴 높음</t>
  </si>
  <si>
    <r>
      <rPr>
        <sz val="10"/>
        <rFont val="DejaVu Sans"/>
        <family val="2"/>
      </rPr>
      <t xml:space="preserve">이미지 경로 불일치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건</t>
    </r>
  </si>
  <si>
    <r>
      <rPr>
        <sz val="10"/>
        <rFont val="Arial"/>
        <family val="0"/>
        <charset val="1"/>
      </rPr>
      <t xml:space="preserve">/images/global_pic.jpg → </t>
    </r>
    <r>
      <rPr>
        <sz val="10"/>
        <rFont val="DejaVu Sans"/>
        <family val="2"/>
      </rPr>
      <t xml:space="preserve">실제 경로로 수정 필요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클로드코드 작업</t>
    </r>
    <r>
      <rPr>
        <sz val="10"/>
        <rFont val="Arial"/>
        <family val="0"/>
        <charset val="1"/>
      </rPr>
      <t xml:space="preserve">)</t>
    </r>
  </si>
  <si>
    <t xml:space="preserve">🟡 중간</t>
  </si>
  <si>
    <t xml:space="preserve">전체</t>
  </si>
  <si>
    <r>
      <rPr>
        <sz val="10"/>
        <rFont val="Arial"/>
        <family val="0"/>
        <charset val="1"/>
      </rPr>
      <t xml:space="preserve">TypeScript </t>
    </r>
    <r>
      <rPr>
        <sz val="10"/>
        <rFont val="DejaVu Sans"/>
        <family val="2"/>
      </rPr>
      <t xml:space="preserve">에러 </t>
    </r>
    <r>
      <rPr>
        <sz val="10"/>
        <rFont val="Arial"/>
        <family val="0"/>
        <charset val="1"/>
      </rPr>
      <t xml:space="preserve">0</t>
    </r>
    <r>
      <rPr>
        <sz val="10"/>
        <rFont val="DejaVu Sans"/>
        <family val="2"/>
      </rPr>
      <t xml:space="preserve">개 유지</t>
    </r>
  </si>
  <si>
    <r>
      <rPr>
        <sz val="10"/>
        <rFont val="DejaVu Sans"/>
        <family val="2"/>
      </rPr>
      <t xml:space="preserve">현재 양호</t>
    </r>
    <r>
      <rPr>
        <sz val="10"/>
        <rFont val="Arial"/>
        <family val="0"/>
        <charset val="1"/>
      </rPr>
      <t xml:space="preserve">. CI/CD</t>
    </r>
    <r>
      <rPr>
        <sz val="10"/>
        <rFont val="DejaVu Sans"/>
        <family val="2"/>
      </rPr>
      <t xml:space="preserve">에 </t>
    </r>
    <r>
      <rPr>
        <sz val="10"/>
        <rFont val="Arial"/>
        <family val="0"/>
        <charset val="1"/>
      </rPr>
      <t xml:space="preserve">tsc --noEmit </t>
    </r>
    <r>
      <rPr>
        <sz val="10"/>
        <rFont val="DejaVu Sans"/>
        <family val="2"/>
      </rPr>
      <t xml:space="preserve">체크 추가 권장</t>
    </r>
  </si>
  <si>
    <r>
      <rPr>
        <sz val="10"/>
        <rFont val="Arial"/>
        <family val="0"/>
        <charset val="1"/>
      </rPr>
      <t xml:space="preserve">next.config.js </t>
    </r>
    <r>
      <rPr>
        <sz val="10"/>
        <rFont val="DejaVu Sans"/>
        <family val="2"/>
      </rPr>
      <t xml:space="preserve">경고</t>
    </r>
  </si>
  <si>
    <r>
      <rPr>
        <sz val="10"/>
        <rFont val="Arial"/>
        <family val="0"/>
        <charset val="1"/>
      </rPr>
      <t xml:space="preserve">outputFileTracingExcludes </t>
    </r>
    <r>
      <rPr>
        <sz val="10"/>
        <rFont val="DejaVu Sans"/>
        <family val="2"/>
      </rPr>
      <t xml:space="preserve">위치 이동 필요 </t>
    </r>
    <r>
      <rPr>
        <sz val="10"/>
        <rFont val="Arial"/>
        <family val="0"/>
        <charset val="1"/>
      </rPr>
      <t xml:space="preserve">(deprecated)</t>
    </r>
  </si>
  <si>
    <t xml:space="preserve">🟢 낮음</t>
  </si>
  <si>
    <r>
      <rPr>
        <sz val="10"/>
        <rFont val="Arial"/>
        <family val="0"/>
        <charset val="1"/>
      </rPr>
      <t xml:space="preserve">EMT.html </t>
    </r>
    <r>
      <rPr>
        <sz val="10"/>
        <rFont val="DejaVu Sans"/>
        <family val="2"/>
      </rPr>
      <t xml:space="preserve">레거시 파일 정리</t>
    </r>
  </si>
  <si>
    <r>
      <rPr>
        <sz val="10"/>
        <rFont val="Arial"/>
        <family val="0"/>
        <charset val="1"/>
      </rPr>
      <t xml:space="preserve">public/emt/EMT.html</t>
    </r>
    <r>
      <rPr>
        <sz val="10"/>
        <rFont val="DejaVu Sans"/>
        <family val="2"/>
      </rPr>
      <t xml:space="preserve">은 서빙 안 됨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삭제 가능</t>
    </r>
  </si>
  <si>
    <t xml:space="preserve">공통 컴포넌트 재사용률 향상</t>
  </si>
  <si>
    <r>
      <rPr>
        <sz val="10"/>
        <rFont val="DejaVu Sans"/>
        <family val="2"/>
      </rPr>
      <t xml:space="preserve">현재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 공통 컴포넌트 → </t>
    </r>
    <r>
      <rPr>
        <sz val="10"/>
        <rFont val="Arial"/>
        <family val="0"/>
        <charset val="1"/>
      </rPr>
      <t xml:space="preserve">OKR KR 85% </t>
    </r>
    <r>
      <rPr>
        <sz val="10"/>
        <rFont val="DejaVu Sans"/>
        <family val="2"/>
      </rPr>
      <t xml:space="preserve">목표 대비 진행 필요</t>
    </r>
  </si>
  <si>
    <t xml:space="preserve">ℹ️ 참고</t>
  </si>
  <si>
    <t xml:space="preserve">Vibers</t>
  </si>
  <si>
    <t xml:space="preserve">신규 프로젝트 추가됨</t>
  </si>
  <si>
    <r>
      <rPr>
        <sz val="10"/>
        <rFont val="DejaVu Sans"/>
        <family val="2"/>
      </rPr>
      <t xml:space="preserve">매거진 형태 — </t>
    </r>
    <r>
      <rPr>
        <sz val="10"/>
        <rFont val="Arial"/>
        <family val="0"/>
        <charset val="1"/>
      </rPr>
      <t xml:space="preserve">OKR</t>
    </r>
    <r>
      <rPr>
        <sz val="10"/>
        <rFont val="DejaVu Sans"/>
        <family val="2"/>
      </rPr>
      <t xml:space="preserve">에 반영 필요 여부 검토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</si>
</sst>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DejaVu Sans"/>
      <family val="2"/>
    </font>
    <font>
      <sz val="9"/>
      <color rgb="FF6B7280"/>
      <name val="DejaVu Sans"/>
      <family val="2"/>
    </font>
    <font>
      <sz val="9"/>
      <color rgb="FF6B7280"/>
      <name val="Arial"/>
      <family val="0"/>
      <charset val="1"/>
    </font>
    <font>
      <b val="true"/>
      <sz val="10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0"/>
      <name val="DejaVu Sans"/>
      <family val="2"/>
    </font>
    <font>
      <b val="true"/>
      <sz val="10"/>
      <color rgb="FFB45309"/>
      <name val="Arial"/>
      <family val="0"/>
      <charset val="1"/>
    </font>
    <font>
      <b val="true"/>
      <sz val="10"/>
      <color rgb="FFB45309"/>
      <name val="DejaVu Sans"/>
      <family val="2"/>
    </font>
    <font>
      <b val="true"/>
      <sz val="9"/>
      <name val="DejaVu Sans"/>
      <family val="2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9"/>
      <color rgb="FFDC2626"/>
      <name val="Arial"/>
      <family val="0"/>
      <charset val="1"/>
    </font>
    <font>
      <sz val="9"/>
      <color rgb="FF059669"/>
      <name val="Arial"/>
      <family val="0"/>
      <charset val="1"/>
    </font>
    <font>
      <b val="true"/>
      <sz val="11"/>
      <name val="DejaVu Sans"/>
      <family val="2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374151"/>
        <bgColor rgb="FF1F2937"/>
      </patternFill>
    </fill>
    <fill>
      <patternFill patternType="solid">
        <fgColor rgb="FFD1FAE5"/>
        <bgColor rgb="FFCCFFFF"/>
      </patternFill>
    </fill>
    <fill>
      <patternFill patternType="solid">
        <fgColor rgb="FFFEF3C7"/>
        <bgColor rgb="FFFEE2E2"/>
      </patternFill>
    </fill>
    <fill>
      <patternFill patternType="solid">
        <fgColor rgb="FFDBEAFE"/>
        <bgColor rgb="FFD1FAE5"/>
      </patternFill>
    </fill>
    <fill>
      <patternFill patternType="solid">
        <fgColor rgb="FFFEE2E2"/>
        <bgColor rgb="FFFEF3C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45309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1.9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4" t="s">
        <v>8</v>
      </c>
      <c r="H4" s="3" t="s">
        <v>9</v>
      </c>
    </row>
    <row r="5" customFormat="false" ht="15" hidden="false" customHeight="false" outlineLevel="0" collapsed="false">
      <c r="A5" s="5" t="s">
        <v>10</v>
      </c>
      <c r="B5" s="5" t="s">
        <v>11</v>
      </c>
      <c r="C5" s="6" t="n">
        <v>29</v>
      </c>
      <c r="D5" s="6" t="n">
        <v>9138</v>
      </c>
      <c r="E5" s="6" t="n">
        <v>215</v>
      </c>
      <c r="F5" s="6" t="s">
        <v>12</v>
      </c>
      <c r="G5" s="6" t="n">
        <v>0</v>
      </c>
      <c r="H5" s="7" t="s">
        <v>13</v>
      </c>
    </row>
    <row r="6" customFormat="false" ht="15" hidden="false" customHeight="false" outlineLevel="0" collapsed="false">
      <c r="A6" s="5" t="s">
        <v>14</v>
      </c>
      <c r="B6" s="5" t="s">
        <v>15</v>
      </c>
      <c r="C6" s="6" t="n">
        <v>14</v>
      </c>
      <c r="D6" s="6" t="n">
        <v>1935</v>
      </c>
      <c r="E6" s="6" t="n">
        <v>215</v>
      </c>
      <c r="F6" s="8" t="s">
        <v>16</v>
      </c>
      <c r="G6" s="6" t="n">
        <v>0</v>
      </c>
      <c r="H6" s="7" t="s">
        <v>13</v>
      </c>
    </row>
    <row r="7" customFormat="false" ht="15" hidden="false" customHeight="false" outlineLevel="0" collapsed="false">
      <c r="A7" s="5" t="s">
        <v>17</v>
      </c>
      <c r="B7" s="5" t="s">
        <v>18</v>
      </c>
      <c r="C7" s="6" t="n">
        <v>61</v>
      </c>
      <c r="D7" s="6" t="n">
        <v>5266</v>
      </c>
      <c r="E7" s="6" t="n">
        <v>11730</v>
      </c>
      <c r="F7" s="6" t="s">
        <v>19</v>
      </c>
      <c r="G7" s="6" t="n">
        <v>0</v>
      </c>
      <c r="H7" s="9" t="s">
        <v>20</v>
      </c>
    </row>
    <row r="8" customFormat="false" ht="15" hidden="false" customHeight="false" outlineLevel="0" collapsed="false">
      <c r="A8" s="10" t="s">
        <v>21</v>
      </c>
      <c r="B8" s="5" t="s">
        <v>22</v>
      </c>
      <c r="C8" s="6" t="n">
        <v>24</v>
      </c>
      <c r="D8" s="6" t="n">
        <v>3603</v>
      </c>
      <c r="E8" s="6" t="n">
        <v>42</v>
      </c>
      <c r="F8" s="6" t="s">
        <v>23</v>
      </c>
      <c r="G8" s="6" t="n">
        <v>0</v>
      </c>
      <c r="H8" s="7" t="s">
        <v>13</v>
      </c>
    </row>
    <row r="9" customFormat="false" ht="15" hidden="false" customHeight="false" outlineLevel="0" collapsed="false">
      <c r="A9" s="10" t="s">
        <v>24</v>
      </c>
      <c r="B9" s="5" t="s">
        <v>25</v>
      </c>
      <c r="C9" s="6" t="n">
        <v>2</v>
      </c>
      <c r="D9" s="6" t="n">
        <v>984</v>
      </c>
      <c r="E9" s="6" t="n">
        <v>36</v>
      </c>
      <c r="F9" s="6" t="s">
        <v>26</v>
      </c>
      <c r="G9" s="6" t="n">
        <v>0</v>
      </c>
      <c r="H9" s="7" t="s">
        <v>13</v>
      </c>
    </row>
    <row r="10" customFormat="false" ht="15" hidden="false" customHeight="false" outlineLevel="0" collapsed="false">
      <c r="A10" s="5" t="s">
        <v>27</v>
      </c>
      <c r="B10" s="5" t="s">
        <v>28</v>
      </c>
      <c r="C10" s="6" t="n">
        <v>45</v>
      </c>
      <c r="D10" s="6" t="n">
        <v>14638</v>
      </c>
      <c r="E10" s="6" t="n">
        <v>254</v>
      </c>
      <c r="F10" s="6" t="s">
        <v>29</v>
      </c>
      <c r="G10" s="6" t="n">
        <v>0</v>
      </c>
      <c r="H10" s="7" t="s">
        <v>13</v>
      </c>
    </row>
    <row r="11" customFormat="false" ht="15" hidden="false" customHeight="false" outlineLevel="0" collapsed="false">
      <c r="A11" s="5" t="s">
        <v>30</v>
      </c>
      <c r="B11" s="5" t="s">
        <v>31</v>
      </c>
      <c r="C11" s="6" t="n">
        <v>5</v>
      </c>
      <c r="D11" s="6" t="n">
        <v>487</v>
      </c>
      <c r="E11" s="6" t="s">
        <v>32</v>
      </c>
      <c r="F11" s="6" t="s">
        <v>32</v>
      </c>
      <c r="G11" s="6" t="n">
        <v>0</v>
      </c>
      <c r="H11" s="11" t="s">
        <v>33</v>
      </c>
    </row>
    <row r="12" customFormat="false" ht="15" hidden="false" customHeight="false" outlineLevel="0" collapsed="false">
      <c r="A12" s="12" t="s">
        <v>34</v>
      </c>
      <c r="B12" s="13"/>
      <c r="C12" s="12" t="n">
        <f aca="false">SUM(C5:C11)</f>
        <v>180</v>
      </c>
      <c r="D12" s="12" t="n">
        <f aca="false">SUM(D5:D11)</f>
        <v>36051</v>
      </c>
      <c r="E12" s="13"/>
      <c r="F12" s="13"/>
      <c r="G12" s="13"/>
      <c r="H12" s="13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4"/>
    <col collapsed="false" customWidth="true" hidden="false" outlineLevel="0" max="5" min="4" style="0" width="10"/>
    <col collapsed="false" customWidth="true" hidden="false" outlineLevel="0" max="6" min="6" style="0" width="12"/>
  </cols>
  <sheetData>
    <row r="1" customFormat="false" ht="30" hidden="false" customHeight="true" outlineLevel="0" collapsed="false">
      <c r="A1" s="14" t="s">
        <v>35</v>
      </c>
      <c r="B1" s="14"/>
      <c r="C1" s="14"/>
      <c r="D1" s="14"/>
      <c r="E1" s="14"/>
      <c r="F1" s="14"/>
    </row>
    <row r="3" customFormat="false" ht="15" hidden="false" customHeight="false" outlineLevel="0" collapsed="false">
      <c r="A3" s="15" t="s">
        <v>2</v>
      </c>
      <c r="B3" s="15" t="s">
        <v>36</v>
      </c>
      <c r="C3" s="15" t="s">
        <v>37</v>
      </c>
      <c r="D3" s="15" t="s">
        <v>38</v>
      </c>
      <c r="E3" s="15" t="s">
        <v>39</v>
      </c>
      <c r="F3" s="15" t="s">
        <v>40</v>
      </c>
    </row>
    <row r="4" customFormat="false" ht="15" hidden="false" customHeight="false" outlineLevel="0" collapsed="false">
      <c r="A4" s="16" t="s">
        <v>41</v>
      </c>
      <c r="B4" s="17" t="n">
        <v>9</v>
      </c>
      <c r="C4" s="17" t="n">
        <v>9</v>
      </c>
      <c r="D4" s="17" t="n">
        <v>0</v>
      </c>
      <c r="E4" s="17" t="n">
        <v>0</v>
      </c>
      <c r="F4" s="18" t="n">
        <f aca="false">IF(B4=0,"-",C4/B4)</f>
        <v>1</v>
      </c>
    </row>
    <row r="5" customFormat="false" ht="15" hidden="false" customHeight="false" outlineLevel="0" collapsed="false">
      <c r="A5" s="16" t="s">
        <v>17</v>
      </c>
      <c r="B5" s="17" t="n">
        <v>31</v>
      </c>
      <c r="C5" s="17" t="n">
        <v>30</v>
      </c>
      <c r="D5" s="17" t="n">
        <v>1</v>
      </c>
      <c r="E5" s="17" t="n">
        <v>0</v>
      </c>
      <c r="F5" s="18" t="n">
        <f aca="false">IF(B5=0,"-",C5/B5)</f>
        <v>0.967741935483871</v>
      </c>
    </row>
    <row r="6" customFormat="false" ht="15" hidden="false" customHeight="false" outlineLevel="0" collapsed="false">
      <c r="A6" s="19" t="s">
        <v>21</v>
      </c>
      <c r="B6" s="17" t="n">
        <v>7</v>
      </c>
      <c r="C6" s="17" t="n">
        <v>7</v>
      </c>
      <c r="D6" s="17" t="n">
        <v>0</v>
      </c>
      <c r="E6" s="17" t="n">
        <v>0</v>
      </c>
      <c r="F6" s="18" t="n">
        <f aca="false">IF(B6=0,"-",C6/B6)</f>
        <v>1</v>
      </c>
    </row>
    <row r="7" customFormat="false" ht="15" hidden="false" customHeight="false" outlineLevel="0" collapsed="false">
      <c r="A7" s="19" t="s">
        <v>24</v>
      </c>
      <c r="B7" s="17" t="n">
        <v>8</v>
      </c>
      <c r="C7" s="17" t="n">
        <v>8</v>
      </c>
      <c r="D7" s="17" t="n">
        <v>0</v>
      </c>
      <c r="E7" s="17" t="n">
        <v>0</v>
      </c>
      <c r="F7" s="18" t="n">
        <f aca="false">IF(B7=0,"-",C7/B7)</f>
        <v>1</v>
      </c>
    </row>
    <row r="8" customFormat="false" ht="15" hidden="false" customHeight="false" outlineLevel="0" collapsed="false">
      <c r="A8" s="16" t="s">
        <v>42</v>
      </c>
      <c r="B8" s="17" t="n">
        <v>72</v>
      </c>
      <c r="C8" s="17" t="n">
        <v>72</v>
      </c>
      <c r="D8" s="17" t="n">
        <v>0</v>
      </c>
      <c r="E8" s="17" t="n">
        <v>1</v>
      </c>
      <c r="F8" s="18" t="n">
        <f aca="false">IF(B8=0,"-",C8/B8)</f>
        <v>1</v>
      </c>
    </row>
    <row r="10" customFormat="false" ht="15" hidden="false" customHeight="false" outlineLevel="0" collapsed="false">
      <c r="A10" s="20" t="s">
        <v>43</v>
      </c>
    </row>
    <row r="11" customFormat="false" ht="15" hidden="false" customHeight="false" outlineLevel="0" collapsed="false">
      <c r="A11" s="21" t="s">
        <v>44</v>
      </c>
      <c r="B11" s="21" t="s">
        <v>45</v>
      </c>
      <c r="C11" s="21" t="s">
        <v>46</v>
      </c>
    </row>
    <row r="12" customFormat="false" ht="15" hidden="false" customHeight="false" outlineLevel="0" collapsed="false">
      <c r="A12" s="22" t="s">
        <v>47</v>
      </c>
      <c r="B12" s="23" t="s">
        <v>48</v>
      </c>
      <c r="C12" s="24" t="s">
        <v>49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32"/>
  </cols>
  <sheetData>
    <row r="1" customFormat="false" ht="30" hidden="false" customHeight="true" outlineLevel="0" collapsed="false">
      <c r="A1" s="14" t="s">
        <v>50</v>
      </c>
      <c r="B1" s="14"/>
      <c r="C1" s="14"/>
      <c r="D1" s="14"/>
      <c r="E1" s="14"/>
    </row>
    <row r="3" customFormat="false" ht="15" hidden="false" customHeight="false" outlineLevel="0" collapsed="false">
      <c r="A3" s="15" t="s">
        <v>2</v>
      </c>
      <c r="B3" s="15" t="s">
        <v>4</v>
      </c>
      <c r="C3" s="15" t="s">
        <v>5</v>
      </c>
      <c r="D3" s="25" t="s">
        <v>51</v>
      </c>
      <c r="E3" s="15" t="s">
        <v>52</v>
      </c>
    </row>
    <row r="4" customFormat="false" ht="15" hidden="false" customHeight="false" outlineLevel="0" collapsed="false">
      <c r="A4" s="16" t="s">
        <v>10</v>
      </c>
      <c r="B4" s="17" t="n">
        <v>29</v>
      </c>
      <c r="C4" s="17" t="n">
        <v>9138</v>
      </c>
      <c r="D4" s="17" t="n">
        <v>27</v>
      </c>
      <c r="E4" s="16" t="s">
        <v>53</v>
      </c>
    </row>
    <row r="5" customFormat="false" ht="15" hidden="false" customHeight="false" outlineLevel="0" collapsed="false">
      <c r="A5" s="16" t="s">
        <v>14</v>
      </c>
      <c r="B5" s="17" t="n">
        <v>14</v>
      </c>
      <c r="C5" s="17" t="n">
        <v>1935</v>
      </c>
      <c r="D5" s="17" t="n">
        <v>13</v>
      </c>
      <c r="E5" s="19" t="s">
        <v>54</v>
      </c>
    </row>
    <row r="6" customFormat="false" ht="15" hidden="false" customHeight="false" outlineLevel="0" collapsed="false">
      <c r="A6" s="16" t="s">
        <v>17</v>
      </c>
      <c r="B6" s="17" t="n">
        <v>61</v>
      </c>
      <c r="C6" s="17" t="n">
        <v>5266</v>
      </c>
      <c r="D6" s="17" t="n">
        <v>56</v>
      </c>
      <c r="E6" s="19" t="s">
        <v>55</v>
      </c>
    </row>
    <row r="7" customFormat="false" ht="15" hidden="false" customHeight="false" outlineLevel="0" collapsed="false">
      <c r="A7" s="19" t="s">
        <v>21</v>
      </c>
      <c r="B7" s="17" t="n">
        <v>24</v>
      </c>
      <c r="C7" s="17" t="n">
        <v>3603</v>
      </c>
      <c r="D7" s="17" t="n">
        <v>22</v>
      </c>
      <c r="E7" s="19" t="s">
        <v>56</v>
      </c>
    </row>
    <row r="8" customFormat="false" ht="15" hidden="false" customHeight="false" outlineLevel="0" collapsed="false">
      <c r="A8" s="19" t="s">
        <v>57</v>
      </c>
      <c r="B8" s="17" t="n">
        <v>5</v>
      </c>
      <c r="C8" s="17" t="n">
        <v>1619</v>
      </c>
      <c r="D8" s="17" t="n">
        <v>3</v>
      </c>
      <c r="E8" s="19" t="s">
        <v>58</v>
      </c>
    </row>
    <row r="9" customFormat="false" ht="15" hidden="false" customHeight="false" outlineLevel="0" collapsed="false">
      <c r="A9" s="19" t="s">
        <v>59</v>
      </c>
      <c r="B9" s="17" t="n">
        <v>2</v>
      </c>
      <c r="C9" s="17" t="n">
        <v>984</v>
      </c>
      <c r="D9" s="17" t="n">
        <v>2</v>
      </c>
      <c r="E9" s="19" t="s">
        <v>60</v>
      </c>
    </row>
    <row r="10" customFormat="false" ht="15" hidden="false" customHeight="false" outlineLevel="0" collapsed="false">
      <c r="A10" s="16" t="s">
        <v>27</v>
      </c>
      <c r="B10" s="17" t="n">
        <v>45</v>
      </c>
      <c r="C10" s="17" t="n">
        <v>14638</v>
      </c>
      <c r="D10" s="17" t="n">
        <v>0</v>
      </c>
      <c r="E10" s="19" t="s">
        <v>61</v>
      </c>
    </row>
    <row r="11" customFormat="false" ht="15" hidden="false" customHeight="false" outlineLevel="0" collapsed="false">
      <c r="A11" s="16" t="s">
        <v>30</v>
      </c>
      <c r="B11" s="17" t="n">
        <v>5</v>
      </c>
      <c r="C11" s="17" t="n">
        <v>487</v>
      </c>
      <c r="D11" s="17" t="n">
        <v>3</v>
      </c>
      <c r="E11" s="19" t="s">
        <v>62</v>
      </c>
    </row>
    <row r="12" customFormat="false" ht="15" hidden="false" customHeight="false" outlineLevel="0" collapsed="false">
      <c r="A12" s="12" t="s">
        <v>34</v>
      </c>
      <c r="B12" s="12" t="n">
        <f aca="false">SUM(B4:B11)</f>
        <v>185</v>
      </c>
      <c r="C12" s="12" t="n">
        <f aca="false">SUM(C4:C11)</f>
        <v>37670</v>
      </c>
      <c r="D12" s="12" t="n">
        <f aca="false">SUM(D4:D11)</f>
        <v>126</v>
      </c>
      <c r="E12" s="13"/>
    </row>
    <row r="14" customFormat="false" ht="15" hidden="false" customHeight="false" outlineLevel="0" collapsed="false">
      <c r="A14" s="26" t="s">
        <v>63</v>
      </c>
    </row>
    <row r="15" customFormat="false" ht="15" hidden="false" customHeight="false" outlineLevel="0" collapsed="false">
      <c r="A15" s="22" t="s">
        <v>64</v>
      </c>
    </row>
    <row r="16" customFormat="false" ht="15" hidden="false" customHeight="false" outlineLevel="0" collapsed="false">
      <c r="A16" s="22" t="s">
        <v>65</v>
      </c>
    </row>
    <row r="17" customFormat="false" ht="15" hidden="false" customHeight="false" outlineLevel="0" collapsed="false">
      <c r="A17" s="22" t="s">
        <v>66</v>
      </c>
    </row>
    <row r="18" customFormat="false" ht="15" hidden="false" customHeight="false" outlineLevel="0" collapsed="false">
      <c r="A18" s="22" t="s">
        <v>67</v>
      </c>
    </row>
    <row r="19" customFormat="false" ht="15" hidden="false" customHeight="false" outlineLevel="0" collapsed="false">
      <c r="A19" s="22" t="s">
        <v>68</v>
      </c>
    </row>
    <row r="20" customFormat="false" ht="15" hidden="false" customHeight="false" outlineLevel="0" collapsed="false">
      <c r="A20" s="22" t="s">
        <v>69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50"/>
  </cols>
  <sheetData>
    <row r="1" customFormat="false" ht="30" hidden="false" customHeight="true" outlineLevel="0" collapsed="false">
      <c r="A1" s="14" t="s">
        <v>70</v>
      </c>
      <c r="B1" s="14"/>
      <c r="C1" s="14"/>
      <c r="D1" s="14"/>
    </row>
    <row r="3" customFormat="false" ht="15" hidden="false" customHeight="false" outlineLevel="0" collapsed="false">
      <c r="A3" s="15" t="s">
        <v>71</v>
      </c>
      <c r="B3" s="15" t="s">
        <v>2</v>
      </c>
      <c r="C3" s="15" t="s">
        <v>72</v>
      </c>
      <c r="D3" s="15" t="s">
        <v>73</v>
      </c>
    </row>
    <row r="4" customFormat="false" ht="34.5" hidden="false" customHeight="true" outlineLevel="0" collapsed="false">
      <c r="A4" s="27" t="s">
        <v>74</v>
      </c>
      <c r="B4" s="28" t="s">
        <v>17</v>
      </c>
      <c r="C4" s="29" t="s">
        <v>75</v>
      </c>
      <c r="D4" s="28" t="s">
        <v>76</v>
      </c>
    </row>
    <row r="5" customFormat="false" ht="34.5" hidden="false" customHeight="true" outlineLevel="0" collapsed="false">
      <c r="A5" s="30" t="s">
        <v>77</v>
      </c>
      <c r="B5" s="29" t="s">
        <v>78</v>
      </c>
      <c r="C5" s="28" t="s">
        <v>79</v>
      </c>
      <c r="D5" s="29" t="s">
        <v>80</v>
      </c>
    </row>
    <row r="6" customFormat="false" ht="34.5" hidden="false" customHeight="true" outlineLevel="0" collapsed="false">
      <c r="A6" s="30" t="s">
        <v>77</v>
      </c>
      <c r="B6" s="29" t="s">
        <v>78</v>
      </c>
      <c r="C6" s="28" t="s">
        <v>81</v>
      </c>
      <c r="D6" s="28" t="s">
        <v>82</v>
      </c>
    </row>
    <row r="7" customFormat="false" ht="34.5" hidden="false" customHeight="true" outlineLevel="0" collapsed="false">
      <c r="A7" s="31" t="s">
        <v>83</v>
      </c>
      <c r="B7" s="28" t="s">
        <v>27</v>
      </c>
      <c r="C7" s="28" t="s">
        <v>84</v>
      </c>
      <c r="D7" s="28" t="s">
        <v>85</v>
      </c>
    </row>
    <row r="8" customFormat="false" ht="34.5" hidden="false" customHeight="true" outlineLevel="0" collapsed="false">
      <c r="A8" s="31" t="s">
        <v>83</v>
      </c>
      <c r="B8" s="29" t="s">
        <v>78</v>
      </c>
      <c r="C8" s="29" t="s">
        <v>86</v>
      </c>
      <c r="D8" s="29" t="s">
        <v>87</v>
      </c>
    </row>
    <row r="9" customFormat="false" ht="34.5" hidden="false" customHeight="true" outlineLevel="0" collapsed="false">
      <c r="A9" s="29" t="s">
        <v>88</v>
      </c>
      <c r="B9" s="28" t="s">
        <v>89</v>
      </c>
      <c r="C9" s="29" t="s">
        <v>90</v>
      </c>
      <c r="D9" s="29" t="s">
        <v>91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2026-03-08T15:23:29Z</dcterms:created>
  <dc:creator>openpyxl</dc:creator>
  <dc:description/>
  <dc:language>en-US</dc:language>
  <cp:lastModifiedBy/>
  <dcterms:modified xsi:type="dcterms:W3CDTF">2026-03-08T15:23:29Z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